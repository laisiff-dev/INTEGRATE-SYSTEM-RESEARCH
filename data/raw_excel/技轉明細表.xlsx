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【行政業務】\●技轉\"/>
    </mc:Choice>
  </mc:AlternateContent>
  <bookViews>
    <workbookView xWindow="480" yWindow="252" windowWidth="14376" windowHeight="8508"/>
  </bookViews>
  <sheets>
    <sheet name="總表" sheetId="2" r:id="rId1"/>
    <sheet name="106技轉清冊" sheetId="3" r:id="rId2"/>
    <sheet name="107" sheetId="4" r:id="rId3"/>
    <sheet name="108" sheetId="5" r:id="rId4"/>
    <sheet name="109" sheetId="10" r:id="rId5"/>
    <sheet name="110" sheetId="11" r:id="rId6"/>
    <sheet name="106學度" sheetId="6" r:id="rId7"/>
    <sheet name="107學年度" sheetId="7" r:id="rId8"/>
    <sheet name="108學年度" sheetId="8" r:id="rId9"/>
    <sheet name="109學年度" sheetId="9" r:id="rId10"/>
  </sheets>
  <definedNames>
    <definedName name="_xlnm._FilterDatabase" localSheetId="0" hidden="1">總表!$A$1:$A$26</definedName>
  </definedNames>
  <calcPr calcId="162913"/>
</workbook>
</file>

<file path=xl/calcChain.xml><?xml version="1.0" encoding="utf-8"?>
<calcChain xmlns="http://schemas.openxmlformats.org/spreadsheetml/2006/main">
  <c r="G5" i="11" l="1"/>
  <c r="G6" i="5"/>
  <c r="G6" i="4"/>
  <c r="G11" i="3"/>
</calcChain>
</file>

<file path=xl/sharedStrings.xml><?xml version="1.0" encoding="utf-8"?>
<sst xmlns="http://schemas.openxmlformats.org/spreadsheetml/2006/main" count="355" uniqueCount="180">
  <si>
    <t>開發電鍍廠廢水中氯化銨之循環回收技術與操控設備</t>
    <phoneticPr fontId="1" type="noConversion"/>
  </si>
  <si>
    <t>伸縮衣架</t>
    <phoneticPr fontId="1" type="noConversion"/>
  </si>
  <si>
    <t>以魅力工常評價構造法進行環控物聯網之系統優化(2/3)</t>
    <phoneticPr fontId="1" type="noConversion"/>
  </si>
  <si>
    <t>旋翼機搭載微型採樣器應用於空域氣體採樣之最後一哩技術：伸縮採樣裝置研發</t>
    <phoneticPr fontId="1" type="noConversion"/>
  </si>
  <si>
    <t>備註</t>
    <phoneticPr fontId="1" type="noConversion"/>
  </si>
  <si>
    <t>106/06/01</t>
    <phoneticPr fontId="1" type="noConversion"/>
  </si>
  <si>
    <t>107/03/14</t>
    <phoneticPr fontId="1" type="noConversion"/>
  </si>
  <si>
    <t>107/06/12</t>
    <phoneticPr fontId="1" type="noConversion"/>
  </si>
  <si>
    <t>主持人</t>
    <phoneticPr fontId="1" type="noConversion"/>
  </si>
  <si>
    <t>技轉項目</t>
    <phoneticPr fontId="1" type="noConversion"/>
  </si>
  <si>
    <t>賴進興</t>
    <phoneticPr fontId="1" type="noConversion"/>
  </si>
  <si>
    <t>謝天智</t>
    <phoneticPr fontId="1" type="noConversion"/>
  </si>
  <si>
    <t>陳建中</t>
    <phoneticPr fontId="1" type="noConversion"/>
  </si>
  <si>
    <t>鄭文熙</t>
    <phoneticPr fontId="1" type="noConversion"/>
  </si>
  <si>
    <t>授權金額</t>
    <phoneticPr fontId="1" type="noConversion"/>
  </si>
  <si>
    <t>107/06/30</t>
    <phoneticPr fontId="1" type="noConversion"/>
  </si>
  <si>
    <t>科技部</t>
    <phoneticPr fontId="1" type="noConversion"/>
  </si>
  <si>
    <t>科技部</t>
    <phoneticPr fontId="1" type="noConversion"/>
  </si>
  <si>
    <t>科技部</t>
    <phoneticPr fontId="1" type="noConversion"/>
  </si>
  <si>
    <t>終止日</t>
    <phoneticPr fontId="1" type="noConversion"/>
  </si>
  <si>
    <t>簽約日期</t>
    <phoneticPr fontId="1" type="noConversion"/>
  </si>
  <si>
    <t>107/8/31</t>
    <phoneticPr fontId="1" type="noConversion"/>
  </si>
  <si>
    <t>107/5/31</t>
    <phoneticPr fontId="1" type="noConversion"/>
  </si>
  <si>
    <t>108/6/30</t>
    <phoneticPr fontId="1" type="noConversion"/>
  </si>
  <si>
    <t>110/6/12</t>
    <phoneticPr fontId="1" type="noConversion"/>
  </si>
  <si>
    <t>108/3/19</t>
    <phoneticPr fontId="1" type="noConversion"/>
  </si>
  <si>
    <t>113/4/18</t>
    <phoneticPr fontId="1" type="noConversion"/>
  </si>
  <si>
    <t>以魅力工程評價構造法進行環控物聯網之系統優化(3/3)</t>
    <phoneticPr fontId="1" type="noConversion"/>
  </si>
  <si>
    <t>陳建中</t>
    <phoneticPr fontId="1" type="noConversion"/>
  </si>
  <si>
    <t>以魅力工常評價構造法進行環控物聯網之系統優化(1/3)</t>
    <phoneticPr fontId="1" type="noConversion"/>
  </si>
  <si>
    <t>106/4/19</t>
    <phoneticPr fontId="1" type="noConversion"/>
  </si>
  <si>
    <t>陳中一</t>
    <phoneticPr fontId="1" type="noConversion"/>
  </si>
  <si>
    <t>新開發薑味機能酒應用於胃腸道之保健</t>
    <phoneticPr fontId="1" type="noConversion"/>
  </si>
  <si>
    <t>104/3/6</t>
    <phoneticPr fontId="1" type="noConversion"/>
  </si>
  <si>
    <t>109/12/1</t>
    <phoneticPr fontId="1" type="noConversion"/>
  </si>
  <si>
    <t>楊金修</t>
    <phoneticPr fontId="1" type="noConversion"/>
  </si>
  <si>
    <t>頸椎牽引裝置下顎墊片</t>
    <phoneticPr fontId="1" type="noConversion"/>
  </si>
  <si>
    <t>104/7/1</t>
    <phoneticPr fontId="1" type="noConversion"/>
  </si>
  <si>
    <t>110/6/30</t>
    <phoneticPr fontId="1" type="noConversion"/>
  </si>
  <si>
    <t>104/6/1</t>
    <phoneticPr fontId="1" type="noConversion"/>
  </si>
  <si>
    <t>105/6/30</t>
    <phoneticPr fontId="1" type="noConversion"/>
  </si>
  <si>
    <t>王麗芬</t>
    <phoneticPr fontId="1" type="noConversion"/>
  </si>
  <si>
    <t>健康指示劑</t>
    <phoneticPr fontId="1" type="noConversion"/>
  </si>
  <si>
    <t>104/8/1</t>
    <phoneticPr fontId="1" type="noConversion"/>
  </si>
  <si>
    <t>109/7/31</t>
    <phoneticPr fontId="1" type="noConversion"/>
  </si>
  <si>
    <t>施百鴻</t>
    <phoneticPr fontId="1" type="noConversion"/>
  </si>
  <si>
    <t>玻纖樹脂粉環境檢測快速篩選技術</t>
    <phoneticPr fontId="1" type="noConversion"/>
  </si>
  <si>
    <t>105/7/1</t>
    <phoneticPr fontId="1" type="noConversion"/>
  </si>
  <si>
    <t>鄭文熙</t>
    <phoneticPr fontId="1" type="noConversion"/>
  </si>
  <si>
    <t>有機水污染變色快速篩檢技術研發</t>
    <phoneticPr fontId="1" type="noConversion"/>
  </si>
  <si>
    <t>108/6/15</t>
    <phoneticPr fontId="1" type="noConversion"/>
  </si>
  <si>
    <t>111/6/15</t>
    <phoneticPr fontId="1" type="noConversion"/>
  </si>
  <si>
    <t>發展傾斜攝影與定位自動攝影技術應用於掩埋場之科技監控、管理與預警</t>
    <phoneticPr fontId="1" type="noConversion"/>
  </si>
  <si>
    <t>108/6/1</t>
    <phoneticPr fontId="1" type="noConversion"/>
  </si>
  <si>
    <t>111/6/1</t>
    <phoneticPr fontId="1" type="noConversion"/>
  </si>
  <si>
    <t>探空氣球觀測應用於混合層高度調查之技術</t>
    <phoneticPr fontId="1" type="noConversion"/>
  </si>
  <si>
    <t>廠商</t>
    <phoneticPr fontId="1" type="noConversion"/>
  </si>
  <si>
    <t>捷思環能有限公司</t>
    <phoneticPr fontId="1" type="noConversion"/>
  </si>
  <si>
    <t>平和環保科技股份有限公司</t>
    <phoneticPr fontId="1" type="noConversion"/>
  </si>
  <si>
    <t>喬達利實業有限公司</t>
    <phoneticPr fontId="1" type="noConversion"/>
  </si>
  <si>
    <t>金合田科技股份有限公司</t>
    <phoneticPr fontId="1" type="noConversion"/>
  </si>
  <si>
    <t>捷思環能有限公司</t>
    <phoneticPr fontId="1" type="noConversion"/>
  </si>
  <si>
    <t>利友科技商務行銷有限公司</t>
    <phoneticPr fontId="1" type="noConversion"/>
  </si>
  <si>
    <t>可寧衛股份有限公司</t>
    <phoneticPr fontId="1" type="noConversion"/>
  </si>
  <si>
    <t>傳閔工程股份有限公司</t>
    <phoneticPr fontId="1" type="noConversion"/>
  </si>
  <si>
    <t>謝天智</t>
    <phoneticPr fontId="1" type="noConversion"/>
  </si>
  <si>
    <t>伸縮衣架</t>
    <phoneticPr fontId="1" type="noConversion"/>
  </si>
  <si>
    <t>喬達利實業有限公司</t>
    <phoneticPr fontId="1" type="noConversion"/>
  </si>
  <si>
    <t>109/7/20</t>
    <phoneticPr fontId="1" type="noConversion"/>
  </si>
  <si>
    <t>110/7/19</t>
    <phoneticPr fontId="1" type="noConversion"/>
  </si>
  <si>
    <t>林清和
賴進興</t>
    <phoneticPr fontId="1" type="noConversion"/>
  </si>
  <si>
    <t>106/09/01</t>
    <phoneticPr fontId="1" type="noConversion"/>
  </si>
  <si>
    <t>項目</t>
    <phoneticPr fontId="1" type="noConversion"/>
  </si>
  <si>
    <t>106年技轉清冊</t>
    <phoneticPr fontId="1" type="noConversion"/>
  </si>
  <si>
    <t>107年技轉清冊</t>
    <phoneticPr fontId="1" type="noConversion"/>
  </si>
  <si>
    <t>108年技轉清冊</t>
    <phoneticPr fontId="1" type="noConversion"/>
  </si>
  <si>
    <t>108年學年度技轉清冊</t>
    <phoneticPr fontId="1" type="noConversion"/>
  </si>
  <si>
    <t>林清和
賴進興</t>
    <phoneticPr fontId="1" type="noConversion"/>
  </si>
  <si>
    <t>探空氣球觀測應用於混合層高度調查之技術</t>
    <phoneticPr fontId="1" type="noConversion"/>
  </si>
  <si>
    <t>傳閔工程股份有限公司</t>
    <phoneticPr fontId="1" type="noConversion"/>
  </si>
  <si>
    <t>106/09/01</t>
    <phoneticPr fontId="1" type="noConversion"/>
  </si>
  <si>
    <t>107學年度技轉清冊</t>
    <phoneticPr fontId="1" type="noConversion"/>
  </si>
  <si>
    <t>106學年度技轉清冊</t>
    <phoneticPr fontId="1" type="noConversion"/>
  </si>
  <si>
    <t>顧雅利</t>
    <phoneticPr fontId="1" type="noConversion"/>
  </si>
  <si>
    <t>具切藥及磨藥結構之藥盒相關之切藥部份</t>
    <phoneticPr fontId="1" type="noConversion"/>
  </si>
  <si>
    <t>益麟企業有限公司</t>
    <phoneticPr fontId="1" type="noConversion"/>
  </si>
  <si>
    <t>110/5/10</t>
    <phoneticPr fontId="1" type="noConversion"/>
  </si>
  <si>
    <t>113/5/9</t>
    <phoneticPr fontId="1" type="noConversion"/>
  </si>
  <si>
    <t>109學年度技轉清冊</t>
    <phoneticPr fontId="1" type="noConversion"/>
  </si>
  <si>
    <t>109年技轉清冊</t>
    <phoneticPr fontId="1" type="noConversion"/>
  </si>
  <si>
    <t>110/7/19</t>
  </si>
  <si>
    <t>110年技轉清冊</t>
    <phoneticPr fontId="1" type="noConversion"/>
  </si>
  <si>
    <t>賴進興</t>
    <phoneticPr fontId="1" type="noConversion"/>
  </si>
  <si>
    <t>110/6/1</t>
    <phoneticPr fontId="1" type="noConversion"/>
  </si>
  <si>
    <t>113/5/31</t>
    <phoneticPr fontId="1" type="noConversion"/>
  </si>
  <si>
    <t>科技部
學校：24,000
賴：56,000</t>
    <phoneticPr fontId="1" type="noConversion"/>
  </si>
  <si>
    <t>FYTC-103002</t>
    <phoneticPr fontId="1" type="noConversion"/>
  </si>
  <si>
    <t>大鵰生技股份有限公司</t>
    <phoneticPr fontId="1" type="noConversion"/>
  </si>
  <si>
    <t>FYTC-103003</t>
    <phoneticPr fontId="1" type="noConversion"/>
  </si>
  <si>
    <t>合閔有限公司</t>
    <phoneticPr fontId="1" type="noConversion"/>
  </si>
  <si>
    <t>FYTC-104001</t>
    <phoneticPr fontId="1" type="noConversion"/>
  </si>
  <si>
    <t>洪健生技有限公司</t>
    <phoneticPr fontId="1" type="noConversion"/>
  </si>
  <si>
    <t>FYTC-104-002</t>
    <phoneticPr fontId="1" type="noConversion"/>
  </si>
  <si>
    <t>沐研致善應用材料有限公司</t>
    <phoneticPr fontId="1" type="noConversion"/>
  </si>
  <si>
    <t>FYTC-105-001</t>
    <phoneticPr fontId="1" type="noConversion"/>
  </si>
  <si>
    <t>105/9/1</t>
    <phoneticPr fontId="1" type="noConversion"/>
  </si>
  <si>
    <t>106/8/31</t>
    <phoneticPr fontId="1" type="noConversion"/>
  </si>
  <si>
    <t>FYTC-106-001</t>
    <phoneticPr fontId="1" type="noConversion"/>
  </si>
  <si>
    <t>107/8/31</t>
    <phoneticPr fontId="1" type="noConversion"/>
  </si>
  <si>
    <t>106/9/1</t>
    <phoneticPr fontId="1" type="noConversion"/>
  </si>
  <si>
    <t>第1期款：106/9/31前繳交
第2期款：107/3/31前繳交</t>
    <phoneticPr fontId="1" type="noConversion"/>
  </si>
  <si>
    <t>第1期款：105/10/31前繳交
第2期款：106/3/31前繳交</t>
    <phoneticPr fontId="1" type="noConversion"/>
  </si>
  <si>
    <t>FYTC-103-004</t>
    <phoneticPr fontId="1" type="noConversion"/>
  </si>
  <si>
    <t>第1期款：104/9/30前繳交
第2期款：105/3/31前繳交</t>
    <phoneticPr fontId="1" type="noConversion"/>
  </si>
  <si>
    <t>FYTC-107-001</t>
    <phoneticPr fontId="1" type="noConversion"/>
  </si>
  <si>
    <t>FYTC-109-001</t>
    <phoneticPr fontId="1" type="noConversion"/>
  </si>
  <si>
    <t>FYTC-110-001</t>
    <phoneticPr fontId="1" type="noConversion"/>
  </si>
  <si>
    <t>2021W01716</t>
    <phoneticPr fontId="1" type="noConversion"/>
  </si>
  <si>
    <t>研發實廠高濃度氨氮廢水氣提循環回收液態氯化銨與固相結晶技術</t>
    <phoneticPr fontId="1" type="noConversion"/>
  </si>
  <si>
    <t>MOST 107-2622-E-242-002-CC3</t>
    <phoneticPr fontId="1" type="noConversion"/>
  </si>
  <si>
    <t>賴進興</t>
    <phoneticPr fontId="1" type="noConversion"/>
  </si>
  <si>
    <t>研發實廠高濃度氨氮廢水氣提循環回收液態氯化銨與固相結晶技術</t>
    <phoneticPr fontId="1" type="noConversion"/>
  </si>
  <si>
    <t>平和環保科技股份有限公司</t>
    <phoneticPr fontId="1" type="noConversion"/>
  </si>
  <si>
    <t>110/6/1</t>
    <phoneticPr fontId="1" type="noConversion"/>
  </si>
  <si>
    <t>113/5/31</t>
    <phoneticPr fontId="1" type="noConversion"/>
  </si>
  <si>
    <t>研發連續進流高濃度氨氮廢水氣提與循環回收氯化銨之設備</t>
  </si>
  <si>
    <t>112/6/1</t>
    <phoneticPr fontId="1" type="noConversion"/>
  </si>
  <si>
    <t>115/5/31</t>
    <phoneticPr fontId="1" type="noConversion"/>
  </si>
  <si>
    <t>科技部20,000
學校：24,000
賴：56,000</t>
    <phoneticPr fontId="1" type="noConversion"/>
  </si>
  <si>
    <t>2023W01815</t>
    <phoneticPr fontId="1" type="noConversion"/>
  </si>
  <si>
    <t>2019W01075</t>
    <phoneticPr fontId="1" type="noConversion"/>
  </si>
  <si>
    <t>2019W01951</t>
    <phoneticPr fontId="1" type="noConversion"/>
  </si>
  <si>
    <t>顧雅利</t>
    <phoneticPr fontId="1" type="noConversion"/>
  </si>
  <si>
    <t>約束裝置之兩用結構</t>
    <phoneticPr fontId="1" type="noConversion"/>
  </si>
  <si>
    <t>國軍退除役官兵輔導委員會屏東榮譽國民之家</t>
    <phoneticPr fontId="1" type="noConversion"/>
  </si>
  <si>
    <t>FYTC-113-001</t>
    <phoneticPr fontId="1" type="noConversion"/>
  </si>
  <si>
    <t>113/2/1</t>
    <phoneticPr fontId="1" type="noConversion"/>
  </si>
  <si>
    <t>118/1/31</t>
    <phoneticPr fontId="1" type="noConversion"/>
  </si>
  <si>
    <t>顧雅利</t>
    <phoneticPr fontId="1" type="noConversion"/>
  </si>
  <si>
    <t>美德耐股份有限公司</t>
    <phoneticPr fontId="1" type="noConversion"/>
  </si>
  <si>
    <t>FYTC-113-002</t>
    <phoneticPr fontId="1" type="noConversion"/>
  </si>
  <si>
    <t>施百鴻</t>
    <phoneticPr fontId="1" type="noConversion"/>
  </si>
  <si>
    <t>沐氚科技有限公司</t>
    <phoneticPr fontId="1" type="noConversion"/>
  </si>
  <si>
    <t>以大理石污泥膠結產製可分解性產品技術</t>
    <phoneticPr fontId="1" type="noConversion"/>
  </si>
  <si>
    <t>113/3/15</t>
    <phoneticPr fontId="1" type="noConversion"/>
  </si>
  <si>
    <t>118/3/14</t>
    <phoneticPr fontId="1" type="noConversion"/>
  </si>
  <si>
    <t>授權金：50,000外加5%營業稅</t>
    <phoneticPr fontId="1" type="noConversion"/>
  </si>
  <si>
    <t>授權金：60,000外加5%營業稅</t>
    <phoneticPr fontId="1" type="noConversion"/>
  </si>
  <si>
    <t>113/4/18</t>
    <phoneticPr fontId="1" type="noConversion"/>
  </si>
  <si>
    <t>116/4/17</t>
    <phoneticPr fontId="1" type="noConversion"/>
  </si>
  <si>
    <t>林政翰</t>
    <phoneticPr fontId="1" type="noConversion"/>
  </si>
  <si>
    <t>護理益智桌遊-消化系統</t>
    <phoneticPr fontId="1" type="noConversion"/>
  </si>
  <si>
    <t>逸香書坊</t>
    <phoneticPr fontId="1" type="noConversion"/>
  </si>
  <si>
    <t>授權金：10,000外加5%營業稅</t>
    <phoneticPr fontId="1" type="noConversion"/>
  </si>
  <si>
    <t>113/6/12</t>
    <phoneticPr fontId="1" type="noConversion"/>
  </si>
  <si>
    <t>114/6/11</t>
    <phoneticPr fontId="1" type="noConversion"/>
  </si>
  <si>
    <t>FYTC-113-003</t>
    <phoneticPr fontId="1" type="noConversion"/>
  </si>
  <si>
    <t>FYTC-113-004</t>
    <phoneticPr fontId="1" type="noConversion"/>
  </si>
  <si>
    <t>翁滋嬪</t>
    <phoneticPr fontId="1" type="noConversion"/>
  </si>
  <si>
    <t>醫療用帶捲收裝置</t>
    <phoneticPr fontId="1" type="noConversion"/>
  </si>
  <si>
    <t>泰興醫療器材有限公司</t>
    <phoneticPr fontId="1" type="noConversion"/>
  </si>
  <si>
    <t>FYTC-113-005</t>
    <phoneticPr fontId="1" type="noConversion"/>
  </si>
  <si>
    <t>113/11/13</t>
    <phoneticPr fontId="1" type="noConversion"/>
  </si>
  <si>
    <t>114/11/12</t>
    <phoneticPr fontId="1" type="noConversion"/>
  </si>
  <si>
    <t>業璽開發有限公司</t>
    <phoneticPr fontId="1" type="noConversion"/>
  </si>
  <si>
    <t>FYTC-115-001</t>
    <phoneticPr fontId="1" type="noConversion"/>
  </si>
  <si>
    <t>115/3/11</t>
    <phoneticPr fontId="1" type="noConversion"/>
  </si>
  <si>
    <t>116/3/10</t>
    <phoneticPr fontId="1" type="noConversion"/>
  </si>
  <si>
    <r>
      <rPr>
        <b/>
        <sz val="14"/>
        <color theme="1"/>
        <rFont val="微軟正黑體"/>
        <family val="2"/>
        <charset val="136"/>
      </rPr>
      <t>合約編號</t>
    </r>
    <phoneticPr fontId="1" type="noConversion"/>
  </si>
  <si>
    <r>
      <rPr>
        <b/>
        <sz val="14"/>
        <color rgb="FFFF0000"/>
        <rFont val="微軟正黑體"/>
        <family val="2"/>
        <charset val="136"/>
      </rPr>
      <t>簽約日期</t>
    </r>
    <phoneticPr fontId="1" type="noConversion"/>
  </si>
  <si>
    <r>
      <rPr>
        <b/>
        <sz val="14"/>
        <color theme="1"/>
        <rFont val="微軟正黑體"/>
        <family val="2"/>
        <charset val="136"/>
      </rPr>
      <t>終止日</t>
    </r>
    <phoneticPr fontId="1" type="noConversion"/>
  </si>
  <si>
    <r>
      <rPr>
        <b/>
        <sz val="14"/>
        <color theme="1"/>
        <rFont val="微軟正黑體"/>
        <family val="2"/>
        <charset val="136"/>
      </rPr>
      <t>授權金額</t>
    </r>
    <phoneticPr fontId="1" type="noConversion"/>
  </si>
  <si>
    <r>
      <rPr>
        <b/>
        <sz val="14"/>
        <color rgb="FF7030A0"/>
        <rFont val="微軟正黑體"/>
        <family val="2"/>
        <charset val="136"/>
      </rPr>
      <t>入校款金額</t>
    </r>
    <phoneticPr fontId="1" type="noConversion"/>
  </si>
  <si>
    <r>
      <rPr>
        <b/>
        <sz val="14"/>
        <color theme="1"/>
        <rFont val="微軟正黑體"/>
        <family val="2"/>
        <charset val="136"/>
      </rPr>
      <t>上繳科發金</t>
    </r>
    <phoneticPr fontId="1" type="noConversion"/>
  </si>
  <si>
    <r>
      <rPr>
        <b/>
        <sz val="14"/>
        <color theme="1"/>
        <rFont val="微軟正黑體"/>
        <family val="2"/>
        <charset val="136"/>
      </rPr>
      <t>學年度</t>
    </r>
    <phoneticPr fontId="1" type="noConversion"/>
  </si>
  <si>
    <t>系科</t>
    <phoneticPr fontId="1" type="noConversion"/>
  </si>
  <si>
    <t>護理</t>
    <phoneticPr fontId="1" type="noConversion"/>
  </si>
  <si>
    <t>環工</t>
    <phoneticPr fontId="1" type="noConversion"/>
  </si>
  <si>
    <t>健管</t>
    <phoneticPr fontId="1" type="noConversion"/>
  </si>
  <si>
    <t>物治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</si>
</sst>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華康細圓體"/>
      <family val="3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Times New Roman"/>
      <family val="1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7030A0"/>
      <name val="微軟正黑體"/>
      <family val="2"/>
      <charset val="136"/>
    </font>
    <font>
      <sz val="12"/>
      <name val="Times New Roman"/>
      <family val="1"/>
    </font>
    <font>
      <sz val="1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7030A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3" fontId="5" fillId="0" borderId="0" xfId="0" applyNumberFormat="1" applyFont="1">
      <alignment vertical="center"/>
    </xf>
    <xf numFmtId="3" fontId="3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3" fontId="7" fillId="3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3" fontId="7" fillId="0" borderId="0" xfId="0" applyNumberFormat="1" applyFont="1">
      <alignment vertical="center"/>
    </xf>
    <xf numFmtId="3" fontId="2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26"/>
  <sheetViews>
    <sheetView tabSelected="1" view="pageBreakPreview" zoomScale="90" zoomScaleNormal="100" zoomScaleSheetLayoutView="90" workbookViewId="0">
      <pane ySplit="1" topLeftCell="A2" activePane="bottomLeft" state="frozen"/>
      <selection pane="bottomLeft" sqref="A1:L23"/>
    </sheetView>
  </sheetViews>
  <sheetFormatPr defaultRowHeight="15.6" x14ac:dyDescent="0.3"/>
  <cols>
    <col min="1" max="1" width="6.88671875" style="23" customWidth="1"/>
    <col min="2" max="2" width="8.88671875" style="23"/>
    <col min="3" max="3" width="43.77734375" style="22" customWidth="1"/>
    <col min="4" max="4" width="28.21875" style="22" customWidth="1"/>
    <col min="5" max="5" width="18.6640625" style="72" customWidth="1"/>
    <col min="6" max="6" width="14.88671875" style="72" customWidth="1"/>
    <col min="7" max="8" width="12.88671875" style="72" customWidth="1"/>
    <col min="9" max="9" width="10.109375" style="8" customWidth="1"/>
    <col min="10" max="10" width="14.33203125" style="8" customWidth="1"/>
    <col min="11" max="11" width="12" style="72" customWidth="1"/>
    <col min="12" max="12" width="34.21875" style="23" customWidth="1"/>
    <col min="13" max="13" width="10.33203125" style="22" customWidth="1"/>
    <col min="14" max="16384" width="8.88671875" style="22"/>
  </cols>
  <sheetData>
    <row r="1" spans="1:12" ht="37.200000000000003" customHeight="1" x14ac:dyDescent="0.3">
      <c r="A1" s="52" t="s">
        <v>175</v>
      </c>
      <c r="B1" s="52" t="s">
        <v>8</v>
      </c>
      <c r="C1" s="52" t="s">
        <v>9</v>
      </c>
      <c r="D1" s="52" t="s">
        <v>56</v>
      </c>
      <c r="E1" s="66" t="s">
        <v>168</v>
      </c>
      <c r="F1" s="67" t="s">
        <v>169</v>
      </c>
      <c r="G1" s="66" t="s">
        <v>170</v>
      </c>
      <c r="H1" s="66" t="s">
        <v>171</v>
      </c>
      <c r="I1" s="68" t="s">
        <v>172</v>
      </c>
      <c r="J1" s="66" t="s">
        <v>173</v>
      </c>
      <c r="K1" s="66" t="s">
        <v>174</v>
      </c>
      <c r="L1" s="52" t="s">
        <v>4</v>
      </c>
    </row>
    <row r="2" spans="1:12" ht="27" customHeight="1" x14ac:dyDescent="0.3">
      <c r="A2" s="74"/>
      <c r="B2" s="48" t="s">
        <v>31</v>
      </c>
      <c r="C2" s="49" t="s">
        <v>32</v>
      </c>
      <c r="D2" s="49" t="s">
        <v>97</v>
      </c>
      <c r="E2" s="69" t="s">
        <v>96</v>
      </c>
      <c r="F2" s="70" t="s">
        <v>33</v>
      </c>
      <c r="G2" s="70" t="s">
        <v>34</v>
      </c>
      <c r="H2" s="71">
        <v>100000</v>
      </c>
      <c r="I2" s="71">
        <v>100000</v>
      </c>
      <c r="J2" s="70"/>
      <c r="K2" s="70">
        <v>103</v>
      </c>
      <c r="L2" s="64"/>
    </row>
    <row r="3" spans="1:12" ht="27" customHeight="1" x14ac:dyDescent="0.3">
      <c r="A3" s="74"/>
      <c r="B3" s="48" t="s">
        <v>35</v>
      </c>
      <c r="C3" s="49" t="s">
        <v>36</v>
      </c>
      <c r="D3" s="49" t="s">
        <v>99</v>
      </c>
      <c r="E3" s="69" t="s">
        <v>98</v>
      </c>
      <c r="F3" s="70" t="s">
        <v>37</v>
      </c>
      <c r="G3" s="70" t="s">
        <v>38</v>
      </c>
      <c r="H3" s="71">
        <v>50000</v>
      </c>
      <c r="I3" s="71">
        <v>50000</v>
      </c>
      <c r="J3" s="70"/>
      <c r="K3" s="70">
        <v>103</v>
      </c>
      <c r="L3" s="64"/>
    </row>
    <row r="4" spans="1:12" ht="27" customHeight="1" x14ac:dyDescent="0.3">
      <c r="A4" s="74"/>
      <c r="B4" s="48" t="s">
        <v>41</v>
      </c>
      <c r="C4" s="49" t="s">
        <v>42</v>
      </c>
      <c r="D4" s="49" t="s">
        <v>101</v>
      </c>
      <c r="E4" s="69" t="s">
        <v>100</v>
      </c>
      <c r="F4" s="70" t="s">
        <v>43</v>
      </c>
      <c r="G4" s="70" t="s">
        <v>44</v>
      </c>
      <c r="H4" s="71">
        <v>10500</v>
      </c>
      <c r="I4" s="71">
        <v>10500</v>
      </c>
      <c r="J4" s="70"/>
      <c r="K4" s="70">
        <v>104</v>
      </c>
      <c r="L4" s="64"/>
    </row>
    <row r="5" spans="1:12" ht="27" customHeight="1" x14ac:dyDescent="0.3">
      <c r="A5" s="74"/>
      <c r="B5" s="48" t="s">
        <v>45</v>
      </c>
      <c r="C5" s="49" t="s">
        <v>46</v>
      </c>
      <c r="D5" s="49" t="s">
        <v>103</v>
      </c>
      <c r="E5" s="69" t="s">
        <v>102</v>
      </c>
      <c r="F5" s="70" t="s">
        <v>47</v>
      </c>
      <c r="G5" s="70" t="s">
        <v>38</v>
      </c>
      <c r="H5" s="71">
        <v>200000</v>
      </c>
      <c r="I5" s="71">
        <v>200000</v>
      </c>
      <c r="J5" s="70"/>
      <c r="K5" s="70">
        <v>104</v>
      </c>
      <c r="L5" s="64"/>
    </row>
    <row r="6" spans="1:12" ht="27.6" x14ac:dyDescent="0.3">
      <c r="A6" s="74"/>
      <c r="B6" s="76" t="s">
        <v>70</v>
      </c>
      <c r="C6" s="75" t="s">
        <v>55</v>
      </c>
      <c r="D6" s="75" t="s">
        <v>64</v>
      </c>
      <c r="E6" s="69" t="s">
        <v>112</v>
      </c>
      <c r="F6" s="70" t="s">
        <v>39</v>
      </c>
      <c r="G6" s="70" t="s">
        <v>40</v>
      </c>
      <c r="H6" s="71">
        <v>200000</v>
      </c>
      <c r="I6" s="71">
        <v>200000</v>
      </c>
      <c r="J6" s="70"/>
      <c r="K6" s="70">
        <v>103</v>
      </c>
      <c r="L6" s="73" t="s">
        <v>113</v>
      </c>
    </row>
    <row r="7" spans="1:12" ht="27.6" x14ac:dyDescent="0.3">
      <c r="A7" s="74"/>
      <c r="B7" s="77"/>
      <c r="C7" s="75"/>
      <c r="D7" s="75"/>
      <c r="E7" s="69" t="s">
        <v>104</v>
      </c>
      <c r="F7" s="70" t="s">
        <v>105</v>
      </c>
      <c r="G7" s="70" t="s">
        <v>106</v>
      </c>
      <c r="H7" s="71">
        <v>300000</v>
      </c>
      <c r="I7" s="71">
        <v>300000</v>
      </c>
      <c r="J7" s="70"/>
      <c r="K7" s="70"/>
      <c r="L7" s="73" t="s">
        <v>111</v>
      </c>
    </row>
    <row r="8" spans="1:12" ht="27.6" x14ac:dyDescent="0.3">
      <c r="A8" s="74"/>
      <c r="B8" s="77"/>
      <c r="C8" s="75"/>
      <c r="D8" s="75"/>
      <c r="E8" s="69" t="s">
        <v>107</v>
      </c>
      <c r="F8" s="70" t="s">
        <v>109</v>
      </c>
      <c r="G8" s="70" t="s">
        <v>108</v>
      </c>
      <c r="H8" s="71">
        <v>400000</v>
      </c>
      <c r="I8" s="71">
        <v>400000</v>
      </c>
      <c r="J8" s="70"/>
      <c r="K8" s="70"/>
      <c r="L8" s="73" t="s">
        <v>110</v>
      </c>
    </row>
    <row r="9" spans="1:12" ht="31.2" x14ac:dyDescent="0.3">
      <c r="A9" s="74"/>
      <c r="B9" s="48" t="s">
        <v>28</v>
      </c>
      <c r="C9" s="49" t="s">
        <v>29</v>
      </c>
      <c r="D9" s="49" t="s">
        <v>57</v>
      </c>
      <c r="E9" s="69"/>
      <c r="F9" s="70" t="s">
        <v>30</v>
      </c>
      <c r="G9" s="70" t="s">
        <v>26</v>
      </c>
      <c r="H9" s="71">
        <v>204000</v>
      </c>
      <c r="I9" s="71">
        <v>163200</v>
      </c>
      <c r="J9" s="71">
        <v>40800</v>
      </c>
      <c r="K9" s="70">
        <v>105</v>
      </c>
      <c r="L9" s="64" t="s">
        <v>16</v>
      </c>
    </row>
    <row r="10" spans="1:12" ht="38.25" customHeight="1" x14ac:dyDescent="0.3">
      <c r="A10" s="74"/>
      <c r="B10" s="48" t="s">
        <v>10</v>
      </c>
      <c r="C10" s="49" t="s">
        <v>0</v>
      </c>
      <c r="D10" s="49" t="s">
        <v>58</v>
      </c>
      <c r="E10" s="69"/>
      <c r="F10" s="70" t="s">
        <v>5</v>
      </c>
      <c r="G10" s="70" t="s">
        <v>22</v>
      </c>
      <c r="H10" s="71">
        <v>85000</v>
      </c>
      <c r="I10" s="71">
        <v>68000</v>
      </c>
      <c r="J10" s="71">
        <v>17000</v>
      </c>
      <c r="K10" s="70">
        <v>105</v>
      </c>
      <c r="L10" s="64" t="s">
        <v>16</v>
      </c>
    </row>
    <row r="11" spans="1:12" ht="18.75" customHeight="1" x14ac:dyDescent="0.3">
      <c r="A11" s="74"/>
      <c r="B11" s="46" t="s">
        <v>11</v>
      </c>
      <c r="C11" s="9" t="s">
        <v>1</v>
      </c>
      <c r="D11" s="9" t="s">
        <v>67</v>
      </c>
      <c r="E11" s="53" t="s">
        <v>114</v>
      </c>
      <c r="F11" s="54" t="s">
        <v>15</v>
      </c>
      <c r="G11" s="54" t="s">
        <v>23</v>
      </c>
      <c r="H11" s="55">
        <v>30000</v>
      </c>
      <c r="I11" s="55">
        <v>30000</v>
      </c>
      <c r="J11" s="54"/>
      <c r="K11" s="54">
        <v>106</v>
      </c>
      <c r="L11" s="3"/>
    </row>
    <row r="12" spans="1:12" ht="41.25" customHeight="1" x14ac:dyDescent="0.3">
      <c r="A12" s="74"/>
      <c r="B12" s="46" t="s">
        <v>12</v>
      </c>
      <c r="C12" s="47" t="s">
        <v>2</v>
      </c>
      <c r="D12" s="47" t="s">
        <v>57</v>
      </c>
      <c r="E12" s="56"/>
      <c r="F12" s="54" t="s">
        <v>6</v>
      </c>
      <c r="G12" s="54" t="s">
        <v>26</v>
      </c>
      <c r="H12" s="55">
        <v>204000</v>
      </c>
      <c r="I12" s="55">
        <v>163200</v>
      </c>
      <c r="J12" s="55">
        <v>40800</v>
      </c>
      <c r="K12" s="54">
        <v>106</v>
      </c>
      <c r="L12" s="3" t="s">
        <v>17</v>
      </c>
    </row>
    <row r="13" spans="1:12" ht="51.75" customHeight="1" x14ac:dyDescent="0.3">
      <c r="A13" s="74"/>
      <c r="B13" s="46" t="s">
        <v>13</v>
      </c>
      <c r="C13" s="47" t="s">
        <v>3</v>
      </c>
      <c r="D13" s="47" t="s">
        <v>60</v>
      </c>
      <c r="E13" s="56" t="s">
        <v>119</v>
      </c>
      <c r="F13" s="54" t="s">
        <v>7</v>
      </c>
      <c r="G13" s="54" t="s">
        <v>24</v>
      </c>
      <c r="H13" s="55">
        <v>80640</v>
      </c>
      <c r="I13" s="55">
        <v>64512</v>
      </c>
      <c r="J13" s="54">
        <v>16128</v>
      </c>
      <c r="K13" s="54">
        <v>106</v>
      </c>
      <c r="L13" s="3" t="s">
        <v>18</v>
      </c>
    </row>
    <row r="14" spans="1:12" ht="36" customHeight="1" x14ac:dyDescent="0.3">
      <c r="A14" s="74"/>
      <c r="B14" s="50" t="s">
        <v>12</v>
      </c>
      <c r="C14" s="51" t="s">
        <v>27</v>
      </c>
      <c r="D14" s="51" t="s">
        <v>61</v>
      </c>
      <c r="E14" s="57"/>
      <c r="F14" s="58" t="s">
        <v>25</v>
      </c>
      <c r="G14" s="58" t="s">
        <v>26</v>
      </c>
      <c r="H14" s="59">
        <v>196561</v>
      </c>
      <c r="I14" s="59">
        <v>157249</v>
      </c>
      <c r="J14" s="58">
        <v>39312</v>
      </c>
      <c r="K14" s="58">
        <v>107</v>
      </c>
      <c r="L14" s="24" t="s">
        <v>16</v>
      </c>
    </row>
    <row r="15" spans="1:12" x14ac:dyDescent="0.3">
      <c r="A15" s="74"/>
      <c r="B15" s="50" t="s">
        <v>48</v>
      </c>
      <c r="C15" s="51" t="s">
        <v>49</v>
      </c>
      <c r="D15" s="51" t="s">
        <v>62</v>
      </c>
      <c r="E15" s="57" t="s">
        <v>130</v>
      </c>
      <c r="F15" s="58" t="s">
        <v>50</v>
      </c>
      <c r="G15" s="58" t="s">
        <v>51</v>
      </c>
      <c r="H15" s="59">
        <v>74496</v>
      </c>
      <c r="I15" s="59">
        <v>59597</v>
      </c>
      <c r="J15" s="58">
        <v>14899</v>
      </c>
      <c r="K15" s="58">
        <v>107</v>
      </c>
      <c r="L15" s="24" t="s">
        <v>18</v>
      </c>
    </row>
    <row r="16" spans="1:12" ht="31.2" x14ac:dyDescent="0.3">
      <c r="A16" s="74"/>
      <c r="B16" s="50" t="s">
        <v>10</v>
      </c>
      <c r="C16" s="51" t="s">
        <v>52</v>
      </c>
      <c r="D16" s="51" t="s">
        <v>63</v>
      </c>
      <c r="E16" s="57" t="s">
        <v>131</v>
      </c>
      <c r="F16" s="58" t="s">
        <v>53</v>
      </c>
      <c r="G16" s="58" t="s">
        <v>54</v>
      </c>
      <c r="H16" s="59">
        <v>100000</v>
      </c>
      <c r="I16" s="59">
        <v>80000</v>
      </c>
      <c r="J16" s="59">
        <v>20000</v>
      </c>
      <c r="K16" s="58">
        <v>107</v>
      </c>
      <c r="L16" s="24" t="s">
        <v>18</v>
      </c>
    </row>
    <row r="17" spans="1:12" x14ac:dyDescent="0.3">
      <c r="A17" s="74"/>
      <c r="B17" s="3" t="s">
        <v>11</v>
      </c>
      <c r="C17" s="25" t="s">
        <v>66</v>
      </c>
      <c r="D17" s="25" t="s">
        <v>59</v>
      </c>
      <c r="E17" s="54" t="s">
        <v>115</v>
      </c>
      <c r="F17" s="54" t="s">
        <v>68</v>
      </c>
      <c r="G17" s="54" t="s">
        <v>69</v>
      </c>
      <c r="H17" s="55">
        <v>31500</v>
      </c>
      <c r="I17" s="55">
        <v>31500</v>
      </c>
      <c r="J17" s="60"/>
      <c r="K17" s="54">
        <v>108</v>
      </c>
      <c r="L17" s="3"/>
    </row>
    <row r="18" spans="1:12" x14ac:dyDescent="0.3">
      <c r="A18" s="74" t="s">
        <v>176</v>
      </c>
      <c r="B18" s="24" t="s">
        <v>83</v>
      </c>
      <c r="C18" s="27" t="s">
        <v>84</v>
      </c>
      <c r="D18" s="28" t="s">
        <v>85</v>
      </c>
      <c r="E18" s="58" t="s">
        <v>116</v>
      </c>
      <c r="F18" s="58" t="s">
        <v>86</v>
      </c>
      <c r="G18" s="58" t="s">
        <v>87</v>
      </c>
      <c r="H18" s="59">
        <v>31500</v>
      </c>
      <c r="I18" s="59">
        <v>31500</v>
      </c>
      <c r="J18" s="58"/>
      <c r="K18" s="58">
        <v>109</v>
      </c>
      <c r="L18" s="24"/>
    </row>
    <row r="19" spans="1:12" ht="41.4" x14ac:dyDescent="0.3">
      <c r="A19" s="74" t="s">
        <v>177</v>
      </c>
      <c r="B19" s="24" t="s">
        <v>92</v>
      </c>
      <c r="C19" s="29" t="s">
        <v>118</v>
      </c>
      <c r="D19" s="30" t="s">
        <v>58</v>
      </c>
      <c r="E19" s="58" t="s">
        <v>117</v>
      </c>
      <c r="F19" s="58" t="s">
        <v>93</v>
      </c>
      <c r="G19" s="58" t="s">
        <v>94</v>
      </c>
      <c r="H19" s="59">
        <v>100000</v>
      </c>
      <c r="I19" s="59">
        <v>80000</v>
      </c>
      <c r="J19" s="59">
        <v>20000</v>
      </c>
      <c r="K19" s="59">
        <v>110</v>
      </c>
      <c r="L19" s="31" t="s">
        <v>95</v>
      </c>
    </row>
    <row r="20" spans="1:12" ht="41.4" x14ac:dyDescent="0.3">
      <c r="A20" s="74" t="s">
        <v>177</v>
      </c>
      <c r="B20" s="45" t="s">
        <v>10</v>
      </c>
      <c r="C20" s="43" t="s">
        <v>125</v>
      </c>
      <c r="D20" s="42" t="s">
        <v>58</v>
      </c>
      <c r="E20" s="61" t="s">
        <v>129</v>
      </c>
      <c r="F20" s="61" t="s">
        <v>126</v>
      </c>
      <c r="G20" s="61" t="s">
        <v>127</v>
      </c>
      <c r="H20" s="62">
        <v>100000</v>
      </c>
      <c r="I20" s="62">
        <v>80000</v>
      </c>
      <c r="J20" s="62">
        <v>20000</v>
      </c>
      <c r="K20" s="61">
        <v>111</v>
      </c>
      <c r="L20" s="44" t="s">
        <v>128</v>
      </c>
    </row>
    <row r="21" spans="1:12" ht="21" customHeight="1" x14ac:dyDescent="0.3">
      <c r="A21" s="74" t="s">
        <v>176</v>
      </c>
      <c r="B21" s="24" t="s">
        <v>132</v>
      </c>
      <c r="C21" s="30" t="s">
        <v>133</v>
      </c>
      <c r="D21" s="29" t="s">
        <v>134</v>
      </c>
      <c r="E21" s="58" t="s">
        <v>135</v>
      </c>
      <c r="F21" s="58" t="s">
        <v>136</v>
      </c>
      <c r="G21" s="58" t="s">
        <v>137</v>
      </c>
      <c r="H21" s="59">
        <v>30000</v>
      </c>
      <c r="I21" s="59">
        <v>30000</v>
      </c>
      <c r="J21" s="63"/>
      <c r="K21" s="58">
        <v>112</v>
      </c>
      <c r="L21" s="24"/>
    </row>
    <row r="22" spans="1:12" ht="21" customHeight="1" x14ac:dyDescent="0.3">
      <c r="A22" s="74" t="s">
        <v>176</v>
      </c>
      <c r="B22" s="24" t="s">
        <v>138</v>
      </c>
      <c r="C22" s="30" t="s">
        <v>133</v>
      </c>
      <c r="D22" s="30" t="s">
        <v>139</v>
      </c>
      <c r="E22" s="58" t="s">
        <v>140</v>
      </c>
      <c r="F22" s="58" t="s">
        <v>144</v>
      </c>
      <c r="G22" s="58" t="s">
        <v>145</v>
      </c>
      <c r="H22" s="59">
        <v>52500</v>
      </c>
      <c r="I22" s="59">
        <v>52500</v>
      </c>
      <c r="J22" s="63"/>
      <c r="K22" s="58">
        <v>112</v>
      </c>
      <c r="L22" s="24" t="s">
        <v>146</v>
      </c>
    </row>
    <row r="23" spans="1:12" ht="21" customHeight="1" x14ac:dyDescent="0.3">
      <c r="A23" s="74" t="s">
        <v>177</v>
      </c>
      <c r="B23" s="24" t="s">
        <v>141</v>
      </c>
      <c r="C23" s="30" t="s">
        <v>143</v>
      </c>
      <c r="D23" s="30" t="s">
        <v>142</v>
      </c>
      <c r="E23" s="58" t="s">
        <v>156</v>
      </c>
      <c r="F23" s="58" t="s">
        <v>148</v>
      </c>
      <c r="G23" s="58" t="s">
        <v>149</v>
      </c>
      <c r="H23" s="59">
        <v>63000</v>
      </c>
      <c r="I23" s="59">
        <v>63000</v>
      </c>
      <c r="J23" s="63"/>
      <c r="K23" s="58">
        <v>112</v>
      </c>
      <c r="L23" s="24" t="s">
        <v>147</v>
      </c>
    </row>
    <row r="24" spans="1:12" ht="21" customHeight="1" x14ac:dyDescent="0.3">
      <c r="A24" s="74" t="s">
        <v>178</v>
      </c>
      <c r="B24" s="24" t="s">
        <v>150</v>
      </c>
      <c r="C24" s="28" t="s">
        <v>151</v>
      </c>
      <c r="D24" s="28" t="s">
        <v>152</v>
      </c>
      <c r="E24" s="58" t="s">
        <v>157</v>
      </c>
      <c r="F24" s="58" t="s">
        <v>154</v>
      </c>
      <c r="G24" s="58" t="s">
        <v>155</v>
      </c>
      <c r="H24" s="59">
        <v>10500</v>
      </c>
      <c r="I24" s="59">
        <v>10500</v>
      </c>
      <c r="J24" s="58"/>
      <c r="K24" s="58">
        <v>112</v>
      </c>
      <c r="L24" s="24" t="s">
        <v>153</v>
      </c>
    </row>
    <row r="25" spans="1:12" ht="21" customHeight="1" x14ac:dyDescent="0.3">
      <c r="A25" s="74" t="s">
        <v>179</v>
      </c>
      <c r="B25" s="24" t="s">
        <v>158</v>
      </c>
      <c r="C25" s="30" t="s">
        <v>159</v>
      </c>
      <c r="D25" s="30" t="s">
        <v>160</v>
      </c>
      <c r="E25" s="58" t="s">
        <v>161</v>
      </c>
      <c r="F25" s="58" t="s">
        <v>162</v>
      </c>
      <c r="G25" s="58" t="s">
        <v>163</v>
      </c>
      <c r="H25" s="59">
        <v>52500</v>
      </c>
      <c r="I25" s="59">
        <v>52500</v>
      </c>
      <c r="J25" s="63"/>
      <c r="K25" s="58">
        <v>113</v>
      </c>
      <c r="L25" s="24" t="s">
        <v>146</v>
      </c>
    </row>
    <row r="26" spans="1:12" ht="21" customHeight="1" x14ac:dyDescent="0.3">
      <c r="A26" s="74" t="s">
        <v>179</v>
      </c>
      <c r="B26" s="3" t="s">
        <v>158</v>
      </c>
      <c r="C26" s="65" t="s">
        <v>159</v>
      </c>
      <c r="D26" s="65" t="s">
        <v>164</v>
      </c>
      <c r="E26" s="54" t="s">
        <v>165</v>
      </c>
      <c r="F26" s="54" t="s">
        <v>166</v>
      </c>
      <c r="G26" s="54" t="s">
        <v>167</v>
      </c>
      <c r="H26" s="55">
        <v>52500</v>
      </c>
      <c r="I26" s="55">
        <v>52500</v>
      </c>
      <c r="J26" s="60"/>
      <c r="K26" s="54">
        <v>114</v>
      </c>
      <c r="L26" s="3" t="s">
        <v>146</v>
      </c>
    </row>
  </sheetData>
  <mergeCells count="3">
    <mergeCell ref="C6:C8"/>
    <mergeCell ref="B6:B8"/>
    <mergeCell ref="D6:D8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opLeftCell="B1" workbookViewId="0">
      <selection activeCell="G17" sqref="G17"/>
    </sheetView>
  </sheetViews>
  <sheetFormatPr defaultRowHeight="16.2" x14ac:dyDescent="0.3"/>
  <cols>
    <col min="1" max="1" width="5.109375" customWidth="1"/>
    <col min="3" max="3" width="31.77734375" customWidth="1"/>
    <col min="4" max="4" width="22" customWidth="1"/>
    <col min="5" max="5" width="12.44140625" customWidth="1"/>
    <col min="6" max="6" width="11.21875" customWidth="1"/>
    <col min="7" max="7" width="15.88671875" customWidth="1"/>
  </cols>
  <sheetData>
    <row r="1" spans="1:7" x14ac:dyDescent="0.3">
      <c r="A1" s="80" t="s">
        <v>73</v>
      </c>
      <c r="B1" s="80"/>
      <c r="C1" s="80"/>
      <c r="D1" s="80"/>
      <c r="E1" s="80"/>
      <c r="F1" s="80"/>
      <c r="G1" s="80"/>
    </row>
    <row r="2" spans="1:7" x14ac:dyDescent="0.3">
      <c r="A2" s="5" t="s">
        <v>72</v>
      </c>
      <c r="B2" s="5" t="s">
        <v>8</v>
      </c>
      <c r="C2" s="5" t="s">
        <v>9</v>
      </c>
      <c r="D2" s="5" t="s">
        <v>56</v>
      </c>
      <c r="E2" s="5" t="s">
        <v>20</v>
      </c>
      <c r="F2" s="5" t="s">
        <v>19</v>
      </c>
      <c r="G2" s="5" t="s">
        <v>14</v>
      </c>
    </row>
    <row r="3" spans="1:7" ht="31.2" x14ac:dyDescent="0.3">
      <c r="A3" s="7">
        <v>1</v>
      </c>
      <c r="B3" s="5" t="s">
        <v>12</v>
      </c>
      <c r="C3" s="4" t="s">
        <v>29</v>
      </c>
      <c r="D3" s="4" t="s">
        <v>57</v>
      </c>
      <c r="E3" s="5" t="s">
        <v>30</v>
      </c>
      <c r="F3" s="5" t="s">
        <v>26</v>
      </c>
      <c r="G3" s="6">
        <v>204000</v>
      </c>
    </row>
    <row r="4" spans="1:7" ht="31.2" x14ac:dyDescent="0.3">
      <c r="A4" s="7">
        <v>2</v>
      </c>
      <c r="B4" s="5" t="s">
        <v>10</v>
      </c>
      <c r="C4" s="4" t="s">
        <v>0</v>
      </c>
      <c r="D4" s="4" t="s">
        <v>58</v>
      </c>
      <c r="E4" s="5" t="s">
        <v>5</v>
      </c>
      <c r="F4" s="5" t="s">
        <v>22</v>
      </c>
      <c r="G4" s="6">
        <v>85000</v>
      </c>
    </row>
    <row r="5" spans="1:7" x14ac:dyDescent="0.3">
      <c r="A5" s="81">
        <v>3</v>
      </c>
      <c r="B5" s="84" t="s">
        <v>70</v>
      </c>
      <c r="C5" s="85" t="s">
        <v>55</v>
      </c>
      <c r="D5" s="85" t="s">
        <v>64</v>
      </c>
      <c r="E5" s="78" t="s">
        <v>71</v>
      </c>
      <c r="F5" s="78" t="s">
        <v>21</v>
      </c>
      <c r="G5" s="79">
        <v>400000</v>
      </c>
    </row>
    <row r="6" spans="1:7" x14ac:dyDescent="0.3">
      <c r="A6" s="82"/>
      <c r="B6" s="78"/>
      <c r="C6" s="85"/>
      <c r="D6" s="85"/>
      <c r="E6" s="78"/>
      <c r="F6" s="78"/>
      <c r="G6" s="78"/>
    </row>
    <row r="7" spans="1:7" ht="9" customHeight="1" x14ac:dyDescent="0.3">
      <c r="A7" s="82"/>
      <c r="B7" s="78"/>
      <c r="C7" s="85"/>
      <c r="D7" s="85"/>
      <c r="E7" s="78"/>
      <c r="F7" s="78"/>
      <c r="G7" s="78"/>
    </row>
    <row r="8" spans="1:7" ht="16.5" hidden="1" customHeight="1" x14ac:dyDescent="0.3">
      <c r="A8" s="82"/>
      <c r="B8" s="78"/>
      <c r="C8" s="85"/>
      <c r="D8" s="85"/>
      <c r="E8" s="78"/>
      <c r="F8" s="78"/>
      <c r="G8" s="78"/>
    </row>
    <row r="9" spans="1:7" ht="3" hidden="1" customHeight="1" x14ac:dyDescent="0.3">
      <c r="A9" s="82"/>
      <c r="B9" s="78"/>
      <c r="C9" s="85"/>
      <c r="D9" s="85"/>
      <c r="E9" s="78"/>
      <c r="F9" s="78"/>
      <c r="G9" s="78"/>
    </row>
    <row r="10" spans="1:7" ht="12" customHeight="1" x14ac:dyDescent="0.3">
      <c r="A10" s="83"/>
      <c r="B10" s="78"/>
      <c r="C10" s="85"/>
      <c r="D10" s="85"/>
      <c r="E10" s="78"/>
      <c r="F10" s="78"/>
      <c r="G10" s="78"/>
    </row>
    <row r="11" spans="1:7" x14ac:dyDescent="0.3">
      <c r="G11" s="32">
        <f>SUM(G3:G5)</f>
        <v>689000</v>
      </c>
    </row>
    <row r="12" spans="1:7" x14ac:dyDescent="0.3">
      <c r="G12" s="8"/>
    </row>
    <row r="13" spans="1:7" x14ac:dyDescent="0.3">
      <c r="G13" s="8"/>
    </row>
    <row r="14" spans="1:7" x14ac:dyDescent="0.3">
      <c r="G14" s="8"/>
    </row>
    <row r="15" spans="1:7" x14ac:dyDescent="0.3">
      <c r="G15" s="8"/>
    </row>
  </sheetData>
  <mergeCells count="8">
    <mergeCell ref="F5:F10"/>
    <mergeCell ref="G5:G10"/>
    <mergeCell ref="A1:G1"/>
    <mergeCell ref="A5:A10"/>
    <mergeCell ref="B5:B10"/>
    <mergeCell ref="C5:C10"/>
    <mergeCell ref="D5:D10"/>
    <mergeCell ref="E5:E10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G10" sqref="G10"/>
    </sheetView>
  </sheetViews>
  <sheetFormatPr defaultRowHeight="14.4" x14ac:dyDescent="0.3"/>
  <cols>
    <col min="1" max="1" width="5.33203125" style="34" customWidth="1"/>
    <col min="2" max="2" width="8.88671875" style="34"/>
    <col min="3" max="3" width="20.21875" style="34" customWidth="1"/>
    <col min="4" max="4" width="16.77734375" style="34" customWidth="1"/>
    <col min="5" max="5" width="13.44140625" style="34" customWidth="1"/>
    <col min="6" max="6" width="12.109375" style="34" customWidth="1"/>
    <col min="7" max="7" width="12.6640625" style="34" customWidth="1"/>
    <col min="8" max="16384" width="8.88671875" style="34"/>
  </cols>
  <sheetData>
    <row r="1" spans="1:7" x14ac:dyDescent="0.3">
      <c r="A1" s="86" t="s">
        <v>74</v>
      </c>
      <c r="B1" s="86"/>
      <c r="C1" s="86"/>
      <c r="D1" s="86"/>
      <c r="E1" s="86"/>
      <c r="F1" s="86"/>
      <c r="G1" s="86"/>
    </row>
    <row r="2" spans="1:7" x14ac:dyDescent="0.3">
      <c r="A2" s="35" t="s">
        <v>72</v>
      </c>
      <c r="B2" s="35" t="s">
        <v>8</v>
      </c>
      <c r="C2" s="35" t="s">
        <v>9</v>
      </c>
      <c r="D2" s="35" t="s">
        <v>56</v>
      </c>
      <c r="E2" s="35" t="s">
        <v>20</v>
      </c>
      <c r="F2" s="35" t="s">
        <v>19</v>
      </c>
      <c r="G2" s="35" t="s">
        <v>14</v>
      </c>
    </row>
    <row r="3" spans="1:7" ht="73.5" customHeight="1" x14ac:dyDescent="0.3">
      <c r="A3" s="35">
        <v>1</v>
      </c>
      <c r="B3" s="35" t="s">
        <v>12</v>
      </c>
      <c r="C3" s="36" t="s">
        <v>2</v>
      </c>
      <c r="D3" s="36" t="s">
        <v>57</v>
      </c>
      <c r="E3" s="35" t="s">
        <v>6</v>
      </c>
      <c r="F3" s="35" t="s">
        <v>26</v>
      </c>
      <c r="G3" s="37">
        <v>204000</v>
      </c>
    </row>
    <row r="4" spans="1:7" ht="57.6" x14ac:dyDescent="0.3">
      <c r="A4" s="35">
        <v>2</v>
      </c>
      <c r="B4" s="35" t="s">
        <v>13</v>
      </c>
      <c r="C4" s="36" t="s">
        <v>3</v>
      </c>
      <c r="D4" s="36" t="s">
        <v>60</v>
      </c>
      <c r="E4" s="35" t="s">
        <v>7</v>
      </c>
      <c r="F4" s="35" t="s">
        <v>24</v>
      </c>
      <c r="G4" s="38">
        <v>80640</v>
      </c>
    </row>
    <row r="5" spans="1:7" ht="41.25" customHeight="1" x14ac:dyDescent="0.3">
      <c r="A5" s="35">
        <v>3</v>
      </c>
      <c r="B5" s="35" t="s">
        <v>11</v>
      </c>
      <c r="C5" s="39" t="s">
        <v>1</v>
      </c>
      <c r="D5" s="36" t="s">
        <v>67</v>
      </c>
      <c r="E5" s="35" t="s">
        <v>15</v>
      </c>
      <c r="F5" s="35" t="s">
        <v>23</v>
      </c>
      <c r="G5" s="38">
        <v>30000</v>
      </c>
    </row>
    <row r="6" spans="1:7" x14ac:dyDescent="0.3">
      <c r="G6" s="40">
        <f>SUM(G3:G5)</f>
        <v>314640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G3" sqref="G3:G5"/>
    </sheetView>
  </sheetViews>
  <sheetFormatPr defaultRowHeight="16.2" x14ac:dyDescent="0.3"/>
  <cols>
    <col min="1" max="1" width="6.109375" customWidth="1"/>
    <col min="3" max="3" width="36.77734375" customWidth="1"/>
    <col min="4" max="4" width="20.21875" customWidth="1"/>
    <col min="5" max="5" width="11.33203125" customWidth="1"/>
    <col min="6" max="6" width="11.21875" customWidth="1"/>
    <col min="7" max="7" width="17.33203125" customWidth="1"/>
  </cols>
  <sheetData>
    <row r="1" spans="1:7" x14ac:dyDescent="0.3">
      <c r="A1" s="80" t="s">
        <v>75</v>
      </c>
      <c r="B1" s="80"/>
      <c r="C1" s="80"/>
      <c r="D1" s="80"/>
      <c r="E1" s="80"/>
      <c r="F1" s="80"/>
      <c r="G1" s="80"/>
    </row>
    <row r="2" spans="1:7" x14ac:dyDescent="0.3">
      <c r="A2" s="5" t="s">
        <v>72</v>
      </c>
      <c r="B2" s="5" t="s">
        <v>8</v>
      </c>
      <c r="C2" s="5" t="s">
        <v>9</v>
      </c>
      <c r="D2" s="5" t="s">
        <v>56</v>
      </c>
      <c r="E2" s="5" t="s">
        <v>20</v>
      </c>
      <c r="F2" s="5" t="s">
        <v>19</v>
      </c>
      <c r="G2" s="5" t="s">
        <v>14</v>
      </c>
    </row>
    <row r="3" spans="1:7" ht="31.2" x14ac:dyDescent="0.3">
      <c r="A3" s="5">
        <v>1</v>
      </c>
      <c r="B3" s="5" t="s">
        <v>12</v>
      </c>
      <c r="C3" s="4" t="s">
        <v>27</v>
      </c>
      <c r="D3" s="4" t="s">
        <v>61</v>
      </c>
      <c r="E3" s="5" t="s">
        <v>25</v>
      </c>
      <c r="F3" s="5" t="s">
        <v>26</v>
      </c>
      <c r="G3" s="26">
        <v>196561</v>
      </c>
    </row>
    <row r="4" spans="1:7" ht="31.2" x14ac:dyDescent="0.3">
      <c r="A4" s="5">
        <v>2</v>
      </c>
      <c r="B4" s="5" t="s">
        <v>10</v>
      </c>
      <c r="C4" s="4" t="s">
        <v>52</v>
      </c>
      <c r="D4" s="4" t="s">
        <v>63</v>
      </c>
      <c r="E4" s="5" t="s">
        <v>53</v>
      </c>
      <c r="F4" s="5" t="s">
        <v>54</v>
      </c>
      <c r="G4" s="26">
        <v>74496</v>
      </c>
    </row>
    <row r="5" spans="1:7" ht="31.2" x14ac:dyDescent="0.3">
      <c r="A5" s="5">
        <v>3</v>
      </c>
      <c r="B5" s="5" t="s">
        <v>13</v>
      </c>
      <c r="C5" s="4" t="s">
        <v>49</v>
      </c>
      <c r="D5" s="4" t="s">
        <v>62</v>
      </c>
      <c r="E5" s="5" t="s">
        <v>50</v>
      </c>
      <c r="F5" s="5" t="s">
        <v>51</v>
      </c>
      <c r="G5" s="26">
        <v>100000</v>
      </c>
    </row>
    <row r="6" spans="1:7" x14ac:dyDescent="0.3">
      <c r="G6" s="33">
        <f>SUM(G3:G5)</f>
        <v>371057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3" sqref="G3"/>
    </sheetView>
  </sheetViews>
  <sheetFormatPr defaultRowHeight="16.2" x14ac:dyDescent="0.3"/>
  <cols>
    <col min="1" max="1" width="7.5546875" customWidth="1"/>
    <col min="3" max="3" width="19.109375" customWidth="1"/>
    <col min="4" max="4" width="28.77734375" customWidth="1"/>
    <col min="5" max="5" width="19.6640625" customWidth="1"/>
    <col min="6" max="6" width="20.88671875" customWidth="1"/>
    <col min="7" max="7" width="22.44140625" customWidth="1"/>
  </cols>
  <sheetData>
    <row r="1" spans="1:7" x14ac:dyDescent="0.3">
      <c r="A1" s="80" t="s">
        <v>89</v>
      </c>
      <c r="B1" s="80"/>
      <c r="C1" s="80"/>
      <c r="D1" s="80"/>
      <c r="E1" s="80"/>
      <c r="F1" s="80"/>
      <c r="G1" s="80"/>
    </row>
    <row r="2" spans="1:7" x14ac:dyDescent="0.3">
      <c r="A2" s="19" t="s">
        <v>72</v>
      </c>
      <c r="B2" s="19" t="s">
        <v>8</v>
      </c>
      <c r="C2" s="19" t="s">
        <v>9</v>
      </c>
      <c r="D2" s="19" t="s">
        <v>56</v>
      </c>
      <c r="E2" s="19" t="s">
        <v>20</v>
      </c>
      <c r="F2" s="19" t="s">
        <v>19</v>
      </c>
      <c r="G2" s="19" t="s">
        <v>14</v>
      </c>
    </row>
    <row r="3" spans="1:7" x14ac:dyDescent="0.3">
      <c r="A3" s="19">
        <v>1</v>
      </c>
      <c r="B3" s="19" t="s">
        <v>11</v>
      </c>
      <c r="C3" s="19" t="s">
        <v>1</v>
      </c>
      <c r="D3" s="19" t="s">
        <v>59</v>
      </c>
      <c r="E3" s="19" t="s">
        <v>68</v>
      </c>
      <c r="F3" s="19" t="s">
        <v>90</v>
      </c>
      <c r="G3" s="20">
        <v>31500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9" sqref="G9"/>
    </sheetView>
  </sheetViews>
  <sheetFormatPr defaultRowHeight="16.2" x14ac:dyDescent="0.3"/>
  <cols>
    <col min="3" max="3" width="43.6640625" customWidth="1"/>
    <col min="4" max="4" width="20.88671875" customWidth="1"/>
    <col min="5" max="5" width="17.33203125" customWidth="1"/>
    <col min="6" max="6" width="15.5546875" customWidth="1"/>
    <col min="7" max="7" width="21" customWidth="1"/>
  </cols>
  <sheetData>
    <row r="1" spans="1:7" x14ac:dyDescent="0.3">
      <c r="A1" s="87" t="s">
        <v>91</v>
      </c>
      <c r="B1" s="87"/>
      <c r="C1" s="87"/>
      <c r="D1" s="87"/>
      <c r="E1" s="87"/>
      <c r="F1" s="87"/>
      <c r="G1" s="87"/>
    </row>
    <row r="2" spans="1:7" x14ac:dyDescent="0.3">
      <c r="A2" s="19" t="s">
        <v>72</v>
      </c>
      <c r="B2" s="19" t="s">
        <v>8</v>
      </c>
      <c r="C2" s="19" t="s">
        <v>9</v>
      </c>
      <c r="D2" s="19" t="s">
        <v>56</v>
      </c>
      <c r="E2" s="19" t="s">
        <v>20</v>
      </c>
      <c r="F2" s="19" t="s">
        <v>19</v>
      </c>
      <c r="G2" s="19" t="s">
        <v>14</v>
      </c>
    </row>
    <row r="3" spans="1:7" ht="21.6" customHeight="1" x14ac:dyDescent="0.3">
      <c r="A3" s="21">
        <v>1</v>
      </c>
      <c r="B3" s="21" t="s">
        <v>83</v>
      </c>
      <c r="C3" s="21" t="s">
        <v>84</v>
      </c>
      <c r="D3" s="21" t="s">
        <v>85</v>
      </c>
      <c r="E3" s="21" t="s">
        <v>86</v>
      </c>
      <c r="F3" s="21" t="s">
        <v>87</v>
      </c>
      <c r="G3" s="41">
        <v>31500</v>
      </c>
    </row>
    <row r="4" spans="1:7" ht="30" x14ac:dyDescent="0.3">
      <c r="A4" s="21">
        <v>2</v>
      </c>
      <c r="B4" s="21" t="s">
        <v>120</v>
      </c>
      <c r="C4" s="21" t="s">
        <v>121</v>
      </c>
      <c r="D4" s="21" t="s">
        <v>122</v>
      </c>
      <c r="E4" s="21" t="s">
        <v>123</v>
      </c>
      <c r="F4" s="21" t="s">
        <v>124</v>
      </c>
      <c r="G4" s="41">
        <v>100000</v>
      </c>
    </row>
    <row r="5" spans="1:7" x14ac:dyDescent="0.3">
      <c r="G5" s="33">
        <f>SUM(G3:G4)</f>
        <v>131500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G3" sqref="G3:G6"/>
    </sheetView>
  </sheetViews>
  <sheetFormatPr defaultRowHeight="16.2" x14ac:dyDescent="0.3"/>
  <cols>
    <col min="3" max="3" width="21.21875" customWidth="1"/>
    <col min="4" max="4" width="22" customWidth="1"/>
    <col min="5" max="5" width="14.77734375" customWidth="1"/>
    <col min="6" max="6" width="13.44140625" customWidth="1"/>
    <col min="7" max="7" width="14.6640625" customWidth="1"/>
  </cols>
  <sheetData>
    <row r="1" spans="1:7" x14ac:dyDescent="0.3">
      <c r="A1" s="80" t="s">
        <v>82</v>
      </c>
      <c r="B1" s="80"/>
      <c r="C1" s="80"/>
      <c r="D1" s="80"/>
      <c r="E1" s="80"/>
      <c r="F1" s="80"/>
      <c r="G1" s="80"/>
    </row>
    <row r="2" spans="1:7" x14ac:dyDescent="0.3">
      <c r="A2" s="10" t="s">
        <v>72</v>
      </c>
      <c r="B2" s="10" t="s">
        <v>8</v>
      </c>
      <c r="C2" s="10" t="s">
        <v>9</v>
      </c>
      <c r="D2" s="10" t="s">
        <v>56</v>
      </c>
      <c r="E2" s="10" t="s">
        <v>20</v>
      </c>
      <c r="F2" s="10" t="s">
        <v>19</v>
      </c>
      <c r="G2" s="10" t="s">
        <v>14</v>
      </c>
    </row>
    <row r="3" spans="1:7" ht="48.75" customHeight="1" x14ac:dyDescent="0.3">
      <c r="A3" s="7">
        <v>1</v>
      </c>
      <c r="B3" s="14" t="s">
        <v>77</v>
      </c>
      <c r="C3" s="14" t="s">
        <v>78</v>
      </c>
      <c r="D3" s="7" t="s">
        <v>79</v>
      </c>
      <c r="E3" s="7" t="s">
        <v>80</v>
      </c>
      <c r="F3" s="7" t="s">
        <v>21</v>
      </c>
      <c r="G3" s="7">
        <v>400000</v>
      </c>
    </row>
    <row r="4" spans="1:7" x14ac:dyDescent="0.3">
      <c r="A4" s="10">
        <v>2</v>
      </c>
      <c r="B4" s="10" t="s">
        <v>11</v>
      </c>
      <c r="C4" s="9" t="s">
        <v>1</v>
      </c>
      <c r="D4" s="12" t="s">
        <v>59</v>
      </c>
      <c r="E4" s="10" t="s">
        <v>15</v>
      </c>
      <c r="F4" s="10" t="s">
        <v>23</v>
      </c>
      <c r="G4" s="11">
        <v>30000</v>
      </c>
    </row>
    <row r="5" spans="1:7" ht="46.8" x14ac:dyDescent="0.3">
      <c r="A5" s="7">
        <v>3</v>
      </c>
      <c r="B5" s="10" t="s">
        <v>12</v>
      </c>
      <c r="C5" s="12" t="s">
        <v>2</v>
      </c>
      <c r="D5" s="12" t="s">
        <v>57</v>
      </c>
      <c r="E5" s="10" t="s">
        <v>6</v>
      </c>
      <c r="F5" s="10" t="s">
        <v>26</v>
      </c>
      <c r="G5" s="11">
        <v>163200</v>
      </c>
    </row>
    <row r="6" spans="1:7" ht="24" customHeight="1" x14ac:dyDescent="0.3">
      <c r="A6" s="10">
        <v>4</v>
      </c>
      <c r="B6" s="10" t="s">
        <v>13</v>
      </c>
      <c r="C6" s="12" t="s">
        <v>3</v>
      </c>
      <c r="D6" s="12" t="s">
        <v>60</v>
      </c>
      <c r="E6" s="10" t="s">
        <v>7</v>
      </c>
      <c r="F6" s="10" t="s">
        <v>24</v>
      </c>
      <c r="G6" s="11">
        <v>64512</v>
      </c>
    </row>
    <row r="7" spans="1:7" ht="12" customHeight="1" x14ac:dyDescent="0.3"/>
    <row r="8" spans="1:7" ht="24" customHeight="1" x14ac:dyDescent="0.3"/>
  </sheetData>
  <mergeCells count="1">
    <mergeCell ref="A1:G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2" sqref="G1:H1048576"/>
    </sheetView>
  </sheetViews>
  <sheetFormatPr defaultRowHeight="16.2" x14ac:dyDescent="0.3"/>
  <cols>
    <col min="3" max="3" width="36" customWidth="1"/>
    <col min="4" max="4" width="9.6640625" customWidth="1"/>
    <col min="5" max="5" width="17.88671875" customWidth="1"/>
    <col min="6" max="6" width="13.21875" customWidth="1"/>
    <col min="7" max="7" width="14.21875" customWidth="1"/>
  </cols>
  <sheetData>
    <row r="1" spans="1:7" x14ac:dyDescent="0.3">
      <c r="A1" s="80" t="s">
        <v>81</v>
      </c>
      <c r="B1" s="80"/>
      <c r="C1" s="80"/>
      <c r="D1" s="80"/>
      <c r="E1" s="80"/>
      <c r="F1" s="80"/>
      <c r="G1" s="80"/>
    </row>
    <row r="2" spans="1:7" x14ac:dyDescent="0.3">
      <c r="A2" s="10" t="s">
        <v>72</v>
      </c>
      <c r="B2" s="10" t="s">
        <v>8</v>
      </c>
      <c r="C2" s="10" t="s">
        <v>9</v>
      </c>
      <c r="D2" s="10" t="s">
        <v>56</v>
      </c>
      <c r="E2" s="10" t="s">
        <v>20</v>
      </c>
      <c r="F2" s="10" t="s">
        <v>19</v>
      </c>
      <c r="G2" s="10" t="s">
        <v>14</v>
      </c>
    </row>
    <row r="3" spans="1:7" ht="52.5" customHeight="1" x14ac:dyDescent="0.3">
      <c r="A3" s="10">
        <v>1</v>
      </c>
      <c r="B3" s="10" t="s">
        <v>12</v>
      </c>
      <c r="C3" s="12" t="s">
        <v>27</v>
      </c>
      <c r="D3" s="12" t="s">
        <v>61</v>
      </c>
      <c r="E3" s="10" t="s">
        <v>25</v>
      </c>
      <c r="F3" s="10" t="s">
        <v>26</v>
      </c>
      <c r="G3" s="11">
        <v>157249</v>
      </c>
    </row>
    <row r="4" spans="1:7" ht="60" customHeight="1" x14ac:dyDescent="0.3">
      <c r="A4" s="10">
        <v>2</v>
      </c>
      <c r="B4" s="10" t="s">
        <v>10</v>
      </c>
      <c r="C4" s="12" t="s">
        <v>52</v>
      </c>
      <c r="D4" s="12" t="s">
        <v>63</v>
      </c>
      <c r="E4" s="10" t="s">
        <v>53</v>
      </c>
      <c r="F4" s="10" t="s">
        <v>54</v>
      </c>
      <c r="G4" s="11">
        <v>80000</v>
      </c>
    </row>
    <row r="5" spans="1:7" ht="51" customHeight="1" x14ac:dyDescent="0.3">
      <c r="A5" s="10">
        <v>3</v>
      </c>
      <c r="B5" s="10" t="s">
        <v>13</v>
      </c>
      <c r="C5" s="12" t="s">
        <v>49</v>
      </c>
      <c r="D5" s="12" t="s">
        <v>62</v>
      </c>
      <c r="E5" s="10" t="s">
        <v>50</v>
      </c>
      <c r="F5" s="10" t="s">
        <v>51</v>
      </c>
      <c r="G5" s="11">
        <v>59597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26" sqref="G26"/>
    </sheetView>
  </sheetViews>
  <sheetFormatPr defaultRowHeight="16.2" x14ac:dyDescent="0.3"/>
  <cols>
    <col min="3" max="3" width="13.21875" customWidth="1"/>
    <col min="4" max="4" width="23.44140625" customWidth="1"/>
    <col min="5" max="5" width="13.33203125" customWidth="1"/>
    <col min="6" max="6" width="13.44140625" customWidth="1"/>
    <col min="7" max="7" width="15.77734375" customWidth="1"/>
  </cols>
  <sheetData>
    <row r="1" spans="1:7" x14ac:dyDescent="0.3">
      <c r="A1" s="80" t="s">
        <v>76</v>
      </c>
      <c r="B1" s="80"/>
      <c r="C1" s="80"/>
      <c r="D1" s="80"/>
      <c r="E1" s="80"/>
      <c r="F1" s="80"/>
      <c r="G1" s="80"/>
    </row>
    <row r="2" spans="1:7" x14ac:dyDescent="0.3">
      <c r="A2" s="10" t="s">
        <v>72</v>
      </c>
      <c r="B2" s="10" t="s">
        <v>8</v>
      </c>
      <c r="C2" s="10" t="s">
        <v>9</v>
      </c>
      <c r="D2" s="10" t="s">
        <v>56</v>
      </c>
      <c r="E2" s="10" t="s">
        <v>20</v>
      </c>
      <c r="F2" s="10" t="s">
        <v>19</v>
      </c>
      <c r="G2" s="10" t="s">
        <v>14</v>
      </c>
    </row>
    <row r="3" spans="1:7" s="13" customFormat="1" ht="23.4" customHeight="1" x14ac:dyDescent="0.3">
      <c r="A3" s="14">
        <v>1</v>
      </c>
      <c r="B3" s="15" t="s">
        <v>65</v>
      </c>
      <c r="C3" s="15" t="s">
        <v>1</v>
      </c>
      <c r="D3" s="15" t="s">
        <v>59</v>
      </c>
      <c r="E3" s="15" t="s">
        <v>68</v>
      </c>
      <c r="F3" s="15" t="s">
        <v>69</v>
      </c>
      <c r="G3" s="15">
        <v>31500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18" sqref="D18"/>
    </sheetView>
  </sheetViews>
  <sheetFormatPr defaultRowHeight="16.2" x14ac:dyDescent="0.3"/>
  <cols>
    <col min="3" max="3" width="45.44140625" customWidth="1"/>
    <col min="4" max="4" width="24.77734375" customWidth="1"/>
    <col min="5" max="5" width="14.6640625" customWidth="1"/>
    <col min="6" max="6" width="12.21875" customWidth="1"/>
    <col min="7" max="7" width="17.21875" customWidth="1"/>
  </cols>
  <sheetData>
    <row r="1" spans="1:7" x14ac:dyDescent="0.3">
      <c r="A1" s="80" t="s">
        <v>88</v>
      </c>
      <c r="B1" s="80"/>
      <c r="C1" s="80"/>
      <c r="D1" s="80"/>
      <c r="E1" s="80"/>
      <c r="F1" s="80"/>
      <c r="G1" s="80"/>
    </row>
    <row r="2" spans="1:7" x14ac:dyDescent="0.3">
      <c r="A2" s="18" t="s">
        <v>72</v>
      </c>
      <c r="B2" s="18" t="s">
        <v>8</v>
      </c>
      <c r="C2" s="18" t="s">
        <v>9</v>
      </c>
      <c r="D2" s="18" t="s">
        <v>56</v>
      </c>
      <c r="E2" s="18" t="s">
        <v>20</v>
      </c>
      <c r="F2" s="18" t="s">
        <v>19</v>
      </c>
      <c r="G2" s="18" t="s">
        <v>14</v>
      </c>
    </row>
    <row r="3" spans="1:7" ht="22.2" customHeight="1" x14ac:dyDescent="0.3">
      <c r="A3" s="14">
        <v>1</v>
      </c>
      <c r="B3" s="1" t="s">
        <v>83</v>
      </c>
      <c r="C3" s="16" t="s">
        <v>84</v>
      </c>
      <c r="D3" s="2" t="s">
        <v>85</v>
      </c>
      <c r="E3" s="3" t="s">
        <v>86</v>
      </c>
      <c r="F3" s="3" t="s">
        <v>87</v>
      </c>
      <c r="G3" s="17">
        <v>31500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總表</vt:lpstr>
      <vt:lpstr>106技轉清冊</vt:lpstr>
      <vt:lpstr>107</vt:lpstr>
      <vt:lpstr>108</vt:lpstr>
      <vt:lpstr>109</vt:lpstr>
      <vt:lpstr>110</vt:lpstr>
      <vt:lpstr>106學度</vt:lpstr>
      <vt:lpstr>107學年度</vt:lpstr>
      <vt:lpstr>108學年度</vt:lpstr>
      <vt:lpstr>109學年度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</dc:creator>
  <cp:lastModifiedBy>fy</cp:lastModifiedBy>
  <cp:lastPrinted>2020-12-23T03:39:32Z</cp:lastPrinted>
  <dcterms:created xsi:type="dcterms:W3CDTF">2017-03-02T09:17:57Z</dcterms:created>
  <dcterms:modified xsi:type="dcterms:W3CDTF">2026-10-02T03:07:32Z</dcterms:modified>
</cp:coreProperties>
</file>